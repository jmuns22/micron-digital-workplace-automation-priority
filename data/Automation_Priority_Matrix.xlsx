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coring_Matrix" sheetId="2" state="visible" r:id="rId4"/>
    <sheet name="Benchmark_Sources" sheetId="3" state="visible" r:id="rId5"/>
    <sheet name="ROI_Model" sheetId="4" state="visible" r:id="rId6"/>
    <sheet name="Sensitivity_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<sst xmlns="http://schemas.openxmlformats.org/spreadsheetml/2006/main" count="275" uniqueCount="225">
  <si>
    <t xml:space="preserve">Digital Workplace Automation Priority Model</t>
  </si>
  <si>
    <t xml:space="preserve">Baseline assumptions driving the scoring matrix. Edit yellow cells to test scenarios</t>
  </si>
  <si>
    <t xml:space="preserve">Assumption</t>
  </si>
  <si>
    <t xml:space="preserve">Value</t>
  </si>
  <si>
    <t xml:space="preserve">Source / Basis</t>
  </si>
  <si>
    <t xml:space="preserve">Reference company size (employees)</t>
  </si>
  <si>
    <t xml:space="preserve">Modeled on Avatier 2026 enterprise reference calculator</t>
  </si>
  <si>
    <t xml:space="preserve">Loaded IT labor rate ($/hr)</t>
  </si>
  <si>
    <t xml:space="preserve">Synthetic assumption; BLS blended IT support labor range ~$35-55/hr</t>
  </si>
  <si>
    <t xml:space="preserve">Password resets / year (at reference size)</t>
  </si>
  <si>
    <t xml:space="preserve">Avatier 2026: ~30% reset volume for 5,000 employees</t>
  </si>
  <si>
    <t xml:space="preserve">Password-related ticket share (of all IT tickets)</t>
  </si>
  <si>
    <t xml:space="preserve">Gartner: 20-50% of help desk tickets are password-related (midpoint used)</t>
  </si>
  <si>
    <t xml:space="preserve">Cost per password reset (low estimate)</t>
  </si>
  <si>
    <t xml:space="preserve">Forrester, cited in Avatier 2026 enterprise reference</t>
  </si>
  <si>
    <t xml:space="preserve">Cost per password reset (high estimate)</t>
  </si>
  <si>
    <t xml:space="preserve">Forrester, cited in Matrix42, Mar 2026</t>
  </si>
  <si>
    <t xml:space="preserve">Implementation &amp; Licensing Cost Assumptions (real market benchmarks)</t>
  </si>
  <si>
    <t xml:space="preserve">ServiceNow scoped single-workflow build (one-time)</t>
  </si>
  <si>
    <t xml:space="preserve">Quackback 2026: ServiceNow implementation partner fees range $30K (basic setup) to $450K+ (full enterprise). Floor used since Micron already licenses ServiceNow per JD.</t>
  </si>
  <si>
    <t xml:space="preserve">Password reset (SSPR) license ($/user/month)</t>
  </si>
  <si>
    <t xml:space="preserve">PortalGuard Commercial On-Premises SSPR, per G2 pricing overview, 2026</t>
  </si>
  <si>
    <t xml:space="preserve">Password reset integration effort (one-time)</t>
  </si>
  <si>
    <t xml:space="preserve">Synthetic estimate for AD/ServiceNow integration labor (no exact figure published)</t>
  </si>
  <si>
    <t xml:space="preserve">Shift-handoff tool license ($/user/month, low tier)</t>
  </si>
  <si>
    <t xml:space="preserve">ZipDo 2026: shift handover software starts at $5/user/month, scaling to $10+/user/month enterprise</t>
  </si>
  <si>
    <t xml:space="preserve">Shift-handoff rollout effort (one-time)</t>
  </si>
  <si>
    <t xml:space="preserve">Synthetic estimate for mobile tool rollout/config labor (no exact figure published)</t>
  </si>
  <si>
    <t xml:space="preserve">Meeting room booking ($/room/month)</t>
  </si>
  <si>
    <t xml:space="preserve">Archie 2026: room-based pricing $8-20/room/month; midpoint used, recommended over per-user pricing for high-headcount/few-room orgs</t>
  </si>
  <si>
    <t xml:space="preserve">Meeting room booking setup (one-time)</t>
  </si>
  <si>
    <t xml:space="preserve">Synthetic estimate for basic rollout/config labor (no exact figure published)</t>
  </si>
  <si>
    <t xml:space="preserve">Risk-adjustment haircut (applied to savings)</t>
  </si>
  <si>
    <t xml:space="preserve">Conservative buffer for adoption lag, partial rollout, and estimation error. Standard practice in ROI modeling, not a sourced figure</t>
  </si>
  <si>
    <t xml:space="preserve">Legend</t>
  </si>
  <si>
    <t xml:space="preserve">Yellow cells</t>
  </si>
  <si>
    <t xml:space="preserve">editable inputs / assumptions</t>
  </si>
  <si>
    <t xml:space="preserve">White cells</t>
  </si>
  <si>
    <t xml:space="preserve">formulas, recalculate automatically</t>
  </si>
  <si>
    <t xml:space="preserve">Automation Opportunity Prioritization Matrix</t>
  </si>
  <si>
    <t xml:space="preserve">Priority Score = (Feasibility x Impact) / Risk  |  Yellow = editable input, White = formula</t>
  </si>
  <si>
    <t xml:space="preserve">Workflow</t>
  </si>
  <si>
    <t xml:space="preserve">Category</t>
  </si>
  <si>
    <t xml:space="preserve">Est. Freq/Month</t>
  </si>
  <si>
    <t xml:space="preserve">Avg Manual Time (min)</t>
  </si>
  <si>
    <t xml:space="preserve">Manual Annual Hours</t>
  </si>
  <si>
    <t xml:space="preserve">Feasibility (1-5)</t>
  </si>
  <si>
    <t xml:space="preserve">Impact (1-5)</t>
  </si>
  <si>
    <t xml:space="preserve">Risk (1-5)</t>
  </si>
  <si>
    <t xml:space="preserve">Priority Score</t>
  </si>
  <si>
    <t xml:space="preserve">Benchmark Time Reduction %</t>
  </si>
  <si>
    <t xml:space="preserve">Est. Hours Saved/Year</t>
  </si>
  <si>
    <t xml:space="preserve">Est. Annual Cost Savings ($)</t>
  </si>
  <si>
    <t xml:space="preserve">Key Benchmark Stat</t>
  </si>
  <si>
    <t xml:space="preserve">Source</t>
  </si>
  <si>
    <t xml:space="preserve">Standardization (1-5)</t>
  </si>
  <si>
    <t xml:space="preserve">Enhanced Priority Score (F x I x S / R)</t>
  </si>
  <si>
    <t xml:space="preserve">New-Hire Device &amp; Access Provisioning</t>
  </si>
  <si>
    <t xml:space="preserve">Office</t>
  </si>
  <si>
    <t xml:space="preserve">Manual onboarding = 10.4 hrs/hire admin time; automation cuts admin time 70%</t>
  </si>
  <si>
    <t xml:space="preserve">SHRM 2025 Human Capital Benchmarking Report; Customer Times 2026 Guide</t>
  </si>
  <si>
    <t xml:space="preserve">Shift-Handoff Documentation &amp; Reporting</t>
  </si>
  <si>
    <t xml:space="preserve">Fab-adjacent</t>
  </si>
  <si>
    <t xml:space="preserve">Handover time itself: 18 min -&gt; &lt;30 sec via voice memo + AI summary (~97% reduction; capped at 85% here as a conservative estimate). Separate, non-time metric: digital handover tools cut production downtime 20% (Eviview): a real operational benefit, not double-counted in hours-saved calc.</t>
  </si>
  <si>
    <t xml:space="preserve">Teamazing, Aug 2026 (handover-time stat); Eviview, Feb 2025 (downtime stat, informational only)</t>
  </si>
  <si>
    <t xml:space="preserve">Equipment / Tool Request Approval</t>
  </si>
  <si>
    <t xml:space="preserve">Up to 70% of asset tracking/mgmt tasks automatable. Note: source measures approval TURNAROUND (elapsed wait, days-&gt;hours), not labor time. 20 min/request is a synthetic labor-effort estimate, not sourced.</t>
  </si>
  <si>
    <t xml:space="preserve">Velocity Smart, Jul 2026 (turnaround stat only; labor-time estimate is synthetic)</t>
  </si>
  <si>
    <t xml:space="preserve">Password / Access Reset</t>
  </si>
  <si>
    <t xml:space="preserve">20-50% of help desk tickets are password-related; self-service automation cuts volume 60-90%. 12 min/reset is a synthetic estimate informed by 'several minutes per incident' language in source (no exact figure given).</t>
  </si>
  <si>
    <t xml:space="preserve">Gartner (via Matrix42, Mar 2026); Avatier 2026</t>
  </si>
  <si>
    <t xml:space="preserve">Meeting / Resource Booking</t>
  </si>
  <si>
    <t xml:space="preserve">No industry benchmark found. Estimate based on comparable low-complexity self-service automation cases</t>
  </si>
  <si>
    <t xml:space="preserve">Synthetic estimate (no external benchmark located)</t>
  </si>
  <si>
    <t xml:space="preserve">TOTAL</t>
  </si>
  <si>
    <t xml:space="preserve">Note: Rank by Priority Score (col I) descending to identify top automation candidates. Freq/Month, Manual Time, Feasibility, Impact, Risk, and Reduction % are editable (yellow). Adjust to test scenarios.</t>
  </si>
  <si>
    <t xml:space="preserve">Enhanced Priority Score (col P) adds Standardization, the criterion published RPA-candidate-selection research (process mining literature; Analytic Hierarchy Process studies with RPA practitioners) identifies as more predictive of automation success than the original 3-axis model alone. Equipment/Tool Request ranks #1 under both models, reinforcing that recommendation independently of which scoring approach is used.</t>
  </si>
  <si>
    <t xml:space="preserve">Benchmark Source Log</t>
  </si>
  <si>
    <t xml:space="preserve">Full citation trail for every stat used in the scoring matrix</t>
  </si>
  <si>
    <t xml:space="preserve">Stat</t>
  </si>
  <si>
    <t xml:space="preserve">Date / Age</t>
  </si>
  <si>
    <t xml:space="preserve">URL</t>
  </si>
  <si>
    <t xml:space="preserve">Onboarding/Provisioning</t>
  </si>
  <si>
    <t xml:space="preserve">10.4 hrs of admin time per new hire (manual)</t>
  </si>
  <si>
    <t xml:space="preserve">SHRM 2025 Human Capital Benchmarking Report</t>
  </si>
  <si>
    <t xml:space="preserve">2025</t>
  </si>
  <si>
    <t xml:space="preserve">cited via ustechautomations.com</t>
  </si>
  <si>
    <t xml:space="preserve">70% reduction in administrative time post-automation</t>
  </si>
  <si>
    <t xml:space="preserve">Customer Times, 2026 Guide</t>
  </si>
  <si>
    <t xml:space="preserve">2026</t>
  </si>
  <si>
    <t xml:space="preserve">customertimes.com/blogs/employee-onboarding-automation</t>
  </si>
  <si>
    <t xml:space="preserve">54% greater new-hire productivity in first 90 days</t>
  </si>
  <si>
    <t xml:space="preserve">Brandon Hall Group 2025 Onboarding Benchmark Study</t>
  </si>
  <si>
    <t xml:space="preserve">Shift-Handoff</t>
  </si>
  <si>
    <t xml:space="preserve">Digital handover tool cut downtime 20%</t>
  </si>
  <si>
    <t xml:space="preserve">Eviview</t>
  </si>
  <si>
    <t xml:space="preserve">Feb 18, 2025</t>
  </si>
  <si>
    <t xml:space="preserve">eviview (industry case study)</t>
  </si>
  <si>
    <t xml:space="preserve">18-min verbal handover, 50% detail lost in first 2 hrs; AI summary &lt;30 sec</t>
  </si>
  <si>
    <t xml:space="preserve">Teamazing</t>
  </si>
  <si>
    <t xml:space="preserve">Aug 8, 2026</t>
  </si>
  <si>
    <t xml:space="preserve">teamazing (industry case study)</t>
  </si>
  <si>
    <t xml:space="preserve">80% reduction in manual documentation time; ~100 workdays saved/project in turnover delivery</t>
  </si>
  <si>
    <t xml:space="preserve">EIDA</t>
  </si>
  <si>
    <t xml:space="preserve">Nov 19, 2025</t>
  </si>
  <si>
    <t xml:space="preserve">eida (industry case study)</t>
  </si>
  <si>
    <t xml:space="preserve">Equipment/Tool Request</t>
  </si>
  <si>
    <t xml:space="preserve">Up to 70% of asset tracking/mgmt tasks automatable</t>
  </si>
  <si>
    <t xml:space="preserve">Velocity Smart</t>
  </si>
  <si>
    <t xml:space="preserve">Jul 2026</t>
  </si>
  <si>
    <t xml:space="preserve">velocity-smart.com/velocity-hub/blog/workflow-driven-asset-management-enterprises</t>
  </si>
  <si>
    <t xml:space="preserve">Approval turnaround shrinks from days to hours</t>
  </si>
  <si>
    <t xml:space="preserve">Jul 15, 2026</t>
  </si>
  <si>
    <t xml:space="preserve">velocity-smart.com/velocity-hub/blog/automate-asset-approval</t>
  </si>
  <si>
    <t xml:space="preserve">Password Reset</t>
  </si>
  <si>
    <t xml:space="preserve">20-50% of help desk tickets are password-related</t>
  </si>
  <si>
    <t xml:space="preserve">Gartner, cited in Matrix42</t>
  </si>
  <si>
    <t xml:space="preserve">Mar 18, 2026</t>
  </si>
  <si>
    <t xml:space="preserve">matrix42 (Gartner citation)</t>
  </si>
  <si>
    <t xml:space="preserve">$25 avg cost per reset (labor+infra+productivity)</t>
  </si>
  <si>
    <t xml:space="preserve">Forrester, cited in Avatier</t>
  </si>
  <si>
    <t xml:space="preserve">credentialgovernance.avatier.com</t>
  </si>
  <si>
    <t xml:space="preserve">$70 avg cost per reset</t>
  </si>
  <si>
    <t xml:space="preserve">Forrester, cited in Matrix42</t>
  </si>
  <si>
    <t xml:space="preserve">matrix42</t>
  </si>
  <si>
    <t xml:space="preserve">60-90% reduction in help desk volume via self-service reset</t>
  </si>
  <si>
    <t xml:space="preserve">Avatier 2026 enterprise reference</t>
  </si>
  <si>
    <t xml:space="preserve">77% of hacking breaches involve stolen credentials</t>
  </si>
  <si>
    <t xml:space="preserve">Verizon 2024 Data Breach Investigations Report</t>
  </si>
  <si>
    <t xml:space="preserve">2024</t>
  </si>
  <si>
    <t xml:space="preserve">verizon.com/business/resources</t>
  </si>
  <si>
    <t xml:space="preserve">General / Cross-cutting</t>
  </si>
  <si>
    <t xml:space="preserve">IT admins want single platform for device/identity/access mgmt (85%)</t>
  </si>
  <si>
    <t xml:space="preserve">JumpCloud</t>
  </si>
  <si>
    <t xml:space="preserve">May 17, 2025</t>
  </si>
  <si>
    <t xml:space="preserve">jumpcloud.com/resources</t>
  </si>
  <si>
    <t xml:space="preserve">18% of orgs still use 11+ disconnected IT tools</t>
  </si>
  <si>
    <t xml:space="preserve">Redesigning workflows around automation can cut operating costs up to 30%</t>
  </si>
  <si>
    <t xml:space="preserve">CMS IT Services</t>
  </si>
  <si>
    <t xml:space="preserve">cmsitservices.com</t>
  </si>
  <si>
    <t xml:space="preserve">Cost Basis / ROI Model</t>
  </si>
  <si>
    <t xml:space="preserve">ServiceNow implementation partner fees: $30K (basic) to $450K+ (full enterprise)</t>
  </si>
  <si>
    <t xml:space="preserve">Quackback</t>
  </si>
  <si>
    <t xml:space="preserve">May 28, 2026</t>
  </si>
  <si>
    <t xml:space="preserve">quackback.io/blog/servicenow-pricing</t>
  </si>
  <si>
    <t xml:space="preserve">PortalGuard SSPR license: $1.50/user/month</t>
  </si>
  <si>
    <t xml:space="preserve">G2 Pricing Overview</t>
  </si>
  <si>
    <t xml:space="preserve">g2.com/products/core-password-and-secure-reset/pricing</t>
  </si>
  <si>
    <t xml:space="preserve">Shift handover software: $5/user/month (basic) to $10+/user/month (enterprise)</t>
  </si>
  <si>
    <t xml:space="preserve">ZipDo Software Advice</t>
  </si>
  <si>
    <t xml:space="preserve">Feb 18, 2026</t>
  </si>
  <si>
    <t xml:space="preserve">zipdo.co/best/shift-handover-software</t>
  </si>
  <si>
    <t xml:space="preserve">Meeting room booking: $8-20 per room/month (room-based pricing recommended for high-headcount/few-room orgs)</t>
  </si>
  <si>
    <t xml:space="preserve">Archie</t>
  </si>
  <si>
    <t xml:space="preserve">Jul 13, 2026</t>
  </si>
  <si>
    <t xml:space="preserve">archieapp.co/blog/meeting-room-booking-system-cost</t>
  </si>
  <si>
    <t xml:space="preserve">Methodology Validation</t>
  </si>
  <si>
    <t xml:space="preserve">Process standardization and transaction volume are the criteria most predictive of RPA automation success (Analytic Hierarchy Process study with RPA developers, consultants, and end users)</t>
  </si>
  <si>
    <t xml:space="preserve">Springer, RPA Candidate Selection literature review</t>
  </si>
  <si>
    <t xml:space="preserve">2021-2022</t>
  </si>
  <si>
    <t xml:space="preserve">link.springer.com (RPA candidate prioritization research)</t>
  </si>
  <si>
    <t xml:space="preserve">PLOST framework: process-mining-based RPA candidate prioritization for ITSM, validated via case study</t>
  </si>
  <si>
    <t xml:space="preserve">Jongeling, Master's Thesis</t>
  </si>
  <si>
    <t xml:space="preserve">2022</t>
  </si>
  <si>
    <t xml:space="preserve">scribd.com/document/872391106 (academic thesis)</t>
  </si>
  <si>
    <t xml:space="preserve">External Validation (non-Micron)</t>
  </si>
  <si>
    <t xml:space="preserve">IT service desk centralization and automation delivered approximately 40% faster ticket resolution</t>
  </si>
  <si>
    <t xml:space="preserve">BBBSA (Big Brothers Big Sisters of America) ITSM case study</t>
  </si>
  <si>
    <t xml:space="preserve">aimultiple.com/itsm-case-studies</t>
  </si>
  <si>
    <t xml:space="preserve">IT service desk automation and ITSM integration case study, workflow automation and bot use to address manual workload</t>
  </si>
  <si>
    <t xml:space="preserve">AG Barr ITSM case study</t>
  </si>
  <si>
    <t xml:space="preserve">3-Year ROI Model</t>
  </si>
  <si>
    <t xml:space="preserve">Annual Savings linked from Scoring_Matrix. Cost basis: real market benchmarks (Assumptions tab) where available, synthetic labor estimates flagged.</t>
  </si>
  <si>
    <t xml:space="preserve">Annual Savings (linked)</t>
  </si>
  <si>
    <t xml:space="preserve">Implementation Basis</t>
  </si>
  <si>
    <t xml:space="preserve">One-Time Cost</t>
  </si>
  <si>
    <t xml:space="preserve">Annual License Cost</t>
  </si>
  <si>
    <t xml:space="preserve">Year 1 Net</t>
  </si>
  <si>
    <t xml:space="preserve">Year 2 Net</t>
  </si>
  <si>
    <t xml:space="preserve">Year 3 Net</t>
  </si>
  <si>
    <t xml:space="preserve">3-Yr Cumulative Net</t>
  </si>
  <si>
    <t xml:space="preserve">Payback (months)</t>
  </si>
  <si>
    <t xml:space="preserve">Risk-Adj. Savings (-20%)</t>
  </si>
  <si>
    <t xml:space="preserve">Risk-Adj. 3-Yr Net</t>
  </si>
  <si>
    <t xml:space="preserve">Risk-Adj. Payback (months)</t>
  </si>
  <si>
    <t xml:space="preserve">Build within existing ServiceNow instance (Micron already licenses ServiceNow per JD)</t>
  </si>
  <si>
    <t xml:space="preserve">Dedicated mobile shift-handover tool (not native to ServiceNow) + rollout labor</t>
  </si>
  <si>
    <t xml:space="preserve">Build within existing ServiceNow instance (shares platform with onboarding build)</t>
  </si>
  <si>
    <t xml:space="preserve">Dedicated SSPR tool licensed per employee + integration labor</t>
  </si>
  <si>
    <t xml:space="preserve">Dedicated room-booking tool, priced per room (cheaper than per-user at this headcount)</t>
  </si>
  <si>
    <t xml:space="preserve">Note: Onboarding and Equipment builds assume reuse of Micron's existing ServiceNow instance (per JD tool list), no separate licensing. Password Reset, Shift-Handoff, and Meeting Booking assume new dedicated tools with real published per-user/per-room pricing (see Assumptions tab). Shift-worker and room counts are synthetic subset estimates, flagged accordingly.</t>
  </si>
  <si>
    <t xml:space="preserve">Bundled Implementation Scenario (Onboarding + Equipment, same ServiceNow build)</t>
  </si>
  <si>
    <t xml:space="preserve">Both builds are costed separately above ($30,000 each) as a conservative baseline. In practice, they share the same platform, admin team, and sprint (see Sprint_Backlog, Sprint 1), so combining them plausibly costs less than two independent builds.</t>
  </si>
  <si>
    <t xml:space="preserve">Scenario</t>
  </si>
  <si>
    <t xml:space="preserve">Onboarding One-Time</t>
  </si>
  <si>
    <t xml:space="preserve">Equipment One-Time</t>
  </si>
  <si>
    <t xml:space="preserve">Combined One-Time</t>
  </si>
  <si>
    <t xml:space="preserve">3-Yr Combined Savings</t>
  </si>
  <si>
    <t xml:space="preserve">Combined 3-Yr Net</t>
  </si>
  <si>
    <t xml:space="preserve">Baseline (separate builds)</t>
  </si>
  <si>
    <t xml:space="preserve">Bundled (25% synergy discount, editable)</t>
  </si>
  <si>
    <t xml:space="preserve">n/a (shared build)</t>
  </si>
  <si>
    <t xml:space="preserve">25% is an editable planning assumption, not a sourced figure: it estimates shared discovery, ServiceNow admin setup, and testing effort. Adjust column D's formula input if your organization's actual shared-build savings differ.</t>
  </si>
  <si>
    <t xml:space="preserve">Sensitivity Analysis: How Fragile Is Each Ranking?</t>
  </si>
  <si>
    <t xml:space="preserve">Priority Score depends on subjective 1-5 ratings. This shows how much the score moves if any single rating is off by 1 point.</t>
  </si>
  <si>
    <t xml:space="preserve">Baseline F</t>
  </si>
  <si>
    <t xml:space="preserve">Baseline I</t>
  </si>
  <si>
    <t xml:space="preserve">Baseline R</t>
  </si>
  <si>
    <t xml:space="preserve">Baseline Score</t>
  </si>
  <si>
    <t xml:space="preserve">Score if F-1</t>
  </si>
  <si>
    <t xml:space="preserve">Score if F+1</t>
  </si>
  <si>
    <t xml:space="preserve">Score if I-1</t>
  </si>
  <si>
    <t xml:space="preserve">Score if I+1</t>
  </si>
  <si>
    <t xml:space="preserve">Score if R-1</t>
  </si>
  <si>
    <t xml:space="preserve">Score if R+1</t>
  </si>
  <si>
    <t xml:space="preserve">Score Range</t>
  </si>
  <si>
    <t xml:space="preserve">Most Sensitive To</t>
  </si>
  <si>
    <t xml:space="preserve">Reading this table: a workflow whose score swings widely under a 1-point rating change is a fragile ranking, one where reasonable people scoring it slightly differently would reach a different conclusion. Equipment/Tool Request's top score is most sensitive to its Impact rating, not Feasibility or Risk: if Impact were scored a 4 instead of a 3, its priority score would jump from 15 to 20.</t>
  </si>
  <si>
    <t xml:space="preserve">Chart data (Equipment/Tool Request perturbation range)</t>
  </si>
  <si>
    <t xml:space="preserve">Axis</t>
  </si>
  <si>
    <t xml:space="preserve">Low</t>
  </si>
  <si>
    <t xml:space="preserve">High</t>
  </si>
  <si>
    <t xml:space="preserve">Feasibility</t>
  </si>
  <si>
    <t xml:space="preserve">Impact</t>
  </si>
  <si>
    <t xml:space="preserve">Risk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</si>
</sst>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\$#,##0"/>
    <numFmt numFmtId="167" formatCode="\$#,##0.00"/>
    <numFmt numFmtId="168" formatCode="General"/>
    <numFmt numFmtId="169" formatCode="0%"/>
    <numFmt numFmtId="170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2E7D46"/>
      <name val="Arial"/>
      <family val="0"/>
      <charset val="1"/>
    </font>
    <font>
      <b val="true"/>
      <sz val="10"/>
      <color rgb="FFB23A4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23A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6"/>
      <rgbColor rgb="FF003300"/>
      <rgbColor rgb="FF333300"/>
      <rgbColor rgb="FF993300"/>
      <rgbColor rgb="FFC0504D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 Sensitivity: Equipment/Tool Request Approval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Sensitivity_Analysis!B14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Sensitivity_Analysis!$A$15:$A$17</c:f>
              <c:strCache>
                <c:ptCount val="3"/>
                <c:pt idx="0">
                  <c:v>Feasibility</c:v>
                </c:pt>
                <c:pt idx="1">
                  <c:v>Impact</c:v>
                </c:pt>
                <c:pt idx="2">
                  <c:v>Risk</c:v>
                </c:pt>
              </c:strCache>
            </c:strRef>
          </c:cat>
          <c:val>
            <c:numRef>
              <c:f>Sensitivity_Analysis!$B$15:$B$17</c:f>
              <c:numCache>
                <c:formatCode>General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15</c:v>
                </c:pt>
              </c:numCache>
            </c:numRef>
          </c:val>
        </c:ser>
        <c:ser>
          <c:idx val="1"/>
          <c:order val="1"/>
          <c:tx>
            <c:strRef>
              <c:f>Sensitivity_Analysis!C14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Sensitivity_Analysis!$A$15:$A$17</c:f>
              <c:strCache>
                <c:ptCount val="3"/>
                <c:pt idx="0">
                  <c:v>Feasibility</c:v>
                </c:pt>
                <c:pt idx="1">
                  <c:v>Impact</c:v>
                </c:pt>
                <c:pt idx="2">
                  <c:v>Risk</c:v>
                </c:pt>
              </c:strCache>
            </c:strRef>
          </c:cat>
          <c:val>
            <c:numRef>
              <c:f>Sensitivity_Analysis!$C$15:$C$17</c:f>
              <c:numCache>
                <c:formatCode>General</c:formatCode>
                <c:ptCount val="3"/>
                <c:pt idx="0">
                  <c:v>15</c:v>
                </c:pt>
                <c:pt idx="1">
                  <c:v>20</c:v>
                </c:pt>
                <c:pt idx="2">
                  <c:v>7.5</c:v>
                </c:pt>
              </c:numCache>
            </c:numRef>
          </c:val>
        </c:ser>
        <c:gapWidth val="150"/>
        <c:overlap val="0"/>
        <c:axId val="2144573"/>
        <c:axId val="20416525"/>
      </c:barChart>
      <c:catAx>
        <c:axId val="214457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Priority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416525"/>
        <c:crosses val="autoZero"/>
        <c:auto val="1"/>
        <c:lblAlgn val="ctr"/>
        <c:lblOffset val="100"/>
        <c:noMultiLvlLbl val="0"/>
      </c:catAx>
      <c:valAx>
        <c:axId val="204165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4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145440</xdr:rowOff>
    </xdr:from>
    <xdr:to>
      <xdr:col>5</xdr:col>
      <xdr:colOff>684720</xdr:colOff>
      <xdr:row>30</xdr:row>
      <xdr:rowOff>188640</xdr:rowOff>
    </xdr:to>
    <xdr:graphicFrame>
      <xdr:nvGraphicFramePr>
        <xdr:cNvPr id="0" name="Chart 1"/>
        <xdr:cNvGraphicFramePr/>
      </xdr:nvGraphicFramePr>
      <xdr:xfrm>
        <a:off x="0" y="46674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</row>
    <row r="6" customFormat="false" ht="15" hidden="false" customHeight="false" outlineLevel="0" collapsed="false">
      <c r="B6" s="4" t="s">
        <v>5</v>
      </c>
      <c r="C6" s="5" t="n">
        <v>5000</v>
      </c>
      <c r="D6" s="6" t="s">
        <v>6</v>
      </c>
    </row>
    <row r="7" customFormat="false" ht="15" hidden="false" customHeight="false" outlineLevel="0" collapsed="false">
      <c r="B7" s="4" t="s">
        <v>7</v>
      </c>
      <c r="C7" s="5" t="n">
        <v>45</v>
      </c>
      <c r="D7" s="6" t="s">
        <v>8</v>
      </c>
    </row>
    <row r="8" customFormat="false" ht="15" hidden="false" customHeight="false" outlineLevel="0" collapsed="false">
      <c r="B8" s="4" t="s">
        <v>9</v>
      </c>
      <c r="C8" s="5" t="n">
        <v>18000</v>
      </c>
      <c r="D8" s="6" t="s">
        <v>10</v>
      </c>
    </row>
    <row r="9" customFormat="false" ht="15" hidden="false" customHeight="false" outlineLevel="0" collapsed="false">
      <c r="B9" s="4" t="s">
        <v>11</v>
      </c>
      <c r="C9" s="7" t="n">
        <v>0.35</v>
      </c>
      <c r="D9" s="6" t="s">
        <v>12</v>
      </c>
    </row>
    <row r="10" customFormat="false" ht="15" hidden="false" customHeight="false" outlineLevel="0" collapsed="false">
      <c r="B10" s="4" t="s">
        <v>13</v>
      </c>
      <c r="C10" s="5" t="n">
        <v>25</v>
      </c>
      <c r="D10" s="6" t="s">
        <v>14</v>
      </c>
    </row>
    <row r="11" customFormat="false" ht="15" hidden="false" customHeight="false" outlineLevel="0" collapsed="false">
      <c r="B11" s="4" t="s">
        <v>15</v>
      </c>
      <c r="C11" s="5" t="n">
        <v>70</v>
      </c>
      <c r="D11" s="6" t="s">
        <v>16</v>
      </c>
    </row>
    <row r="13" customFormat="false" ht="15" hidden="false" customHeight="false" outlineLevel="0" collapsed="false">
      <c r="B13" s="8" t="s">
        <v>17</v>
      </c>
    </row>
    <row r="14" customFormat="false" ht="15" hidden="false" customHeight="false" outlineLevel="0" collapsed="false">
      <c r="B14" s="4" t="s">
        <v>18</v>
      </c>
      <c r="C14" s="9" t="n">
        <v>30000</v>
      </c>
      <c r="D14" s="6" t="s">
        <v>19</v>
      </c>
    </row>
    <row r="15" customFormat="false" ht="15" hidden="false" customHeight="false" outlineLevel="0" collapsed="false">
      <c r="B15" s="4" t="s">
        <v>20</v>
      </c>
      <c r="C15" s="10" t="n">
        <v>1.5</v>
      </c>
      <c r="D15" s="6" t="s">
        <v>21</v>
      </c>
    </row>
    <row r="16" customFormat="false" ht="15" hidden="false" customHeight="false" outlineLevel="0" collapsed="false">
      <c r="B16" s="4" t="s">
        <v>22</v>
      </c>
      <c r="C16" s="9" t="n">
        <v>10000</v>
      </c>
      <c r="D16" s="6" t="s">
        <v>23</v>
      </c>
    </row>
    <row r="17" customFormat="false" ht="15" hidden="false" customHeight="false" outlineLevel="0" collapsed="false">
      <c r="B17" s="4" t="s">
        <v>24</v>
      </c>
      <c r="C17" s="10" t="n">
        <v>5</v>
      </c>
      <c r="D17" s="6" t="s">
        <v>25</v>
      </c>
    </row>
    <row r="18" customFormat="false" ht="15" hidden="false" customHeight="false" outlineLevel="0" collapsed="false">
      <c r="B18" s="4" t="s">
        <v>26</v>
      </c>
      <c r="C18" s="9" t="n">
        <v>15000</v>
      </c>
      <c r="D18" s="6" t="s">
        <v>27</v>
      </c>
    </row>
    <row r="19" customFormat="false" ht="15" hidden="false" customHeight="false" outlineLevel="0" collapsed="false">
      <c r="B19" s="4" t="s">
        <v>28</v>
      </c>
      <c r="C19" s="10" t="n">
        <v>12</v>
      </c>
      <c r="D19" s="6" t="s">
        <v>29</v>
      </c>
    </row>
    <row r="20" customFormat="false" ht="15" hidden="false" customHeight="false" outlineLevel="0" collapsed="false">
      <c r="B20" s="4" t="s">
        <v>30</v>
      </c>
      <c r="C20" s="9" t="n">
        <v>5000</v>
      </c>
      <c r="D20" s="6" t="s">
        <v>31</v>
      </c>
    </row>
    <row r="21" customFormat="false" ht="15" hidden="false" customHeight="false" outlineLevel="0" collapsed="false">
      <c r="B21" s="4" t="s">
        <v>32</v>
      </c>
      <c r="C21" s="5" t="n">
        <v>0.2</v>
      </c>
      <c r="D21" s="6" t="s">
        <v>33</v>
      </c>
    </row>
    <row r="23" customFormat="false" ht="15" hidden="false" customHeight="false" outlineLevel="0" collapsed="false">
      <c r="B23" s="8" t="s">
        <v>34</v>
      </c>
    </row>
    <row r="24" customFormat="false" ht="15" hidden="false" customHeight="false" outlineLevel="0" collapsed="false">
      <c r="B24" s="11" t="s">
        <v>35</v>
      </c>
      <c r="C24" s="12" t="s">
        <v>36</v>
      </c>
    </row>
    <row r="25" customFormat="false" ht="15" hidden="false" customHeight="false" outlineLevel="0" collapsed="false">
      <c r="B25" s="11" t="s">
        <v>37</v>
      </c>
      <c r="C25" s="1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5" min="4" style="0" width="1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45"/>
    <col collapsed="false" customWidth="true" hidden="false" outlineLevel="0" max="14" min="14" style="0" width="32"/>
    <col collapsed="false" customWidth="true" hidden="false" outlineLevel="0" max="15" min="15" style="0" width="13"/>
    <col collapsed="false" customWidth="true" hidden="false" outlineLevel="0" max="16" min="16" style="0" width="18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35.05" hidden="false" customHeight="false" outlineLevel="0" collapsed="false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51</v>
      </c>
      <c r="L4" s="3" t="s">
        <v>52</v>
      </c>
      <c r="M4" s="3" t="s">
        <v>53</v>
      </c>
      <c r="N4" s="3" t="s">
        <v>54</v>
      </c>
      <c r="O4" s="3" t="s">
        <v>55</v>
      </c>
      <c r="P4" s="3" t="s">
        <v>56</v>
      </c>
    </row>
    <row r="5" customFormat="false" ht="42" hidden="false" customHeight="true" outlineLevel="0" collapsed="false">
      <c r="A5" s="4" t="s">
        <v>57</v>
      </c>
      <c r="B5" s="4" t="s">
        <v>58</v>
      </c>
      <c r="C5" s="5" t="n">
        <v>20</v>
      </c>
      <c r="D5" s="5" t="n">
        <v>624</v>
      </c>
      <c r="E5" s="4" t="n">
        <f aca="false">C5*D5*12/60</f>
        <v>2496</v>
      </c>
      <c r="F5" s="5" t="n">
        <v>4</v>
      </c>
      <c r="G5" s="5" t="n">
        <v>5</v>
      </c>
      <c r="H5" s="5" t="n">
        <v>2</v>
      </c>
      <c r="I5" s="13" t="n">
        <f aca="false">(F5*G5)/H5</f>
        <v>10</v>
      </c>
      <c r="J5" s="14" t="n">
        <v>0.7</v>
      </c>
      <c r="K5" s="4" t="n">
        <f aca="false">E5*J5</f>
        <v>1747.2</v>
      </c>
      <c r="L5" s="15" t="n">
        <f aca="false">K5*Assumptions!$C$7</f>
        <v>78624</v>
      </c>
      <c r="M5" s="16" t="s">
        <v>59</v>
      </c>
      <c r="N5" s="17" t="s">
        <v>60</v>
      </c>
      <c r="O5" s="5" t="n">
        <v>4</v>
      </c>
      <c r="P5" s="18" t="n">
        <f aca="false">(F5*G5*O5)/H5</f>
        <v>40</v>
      </c>
    </row>
    <row r="6" customFormat="false" ht="42" hidden="false" customHeight="true" outlineLevel="0" collapsed="false">
      <c r="A6" s="4" t="s">
        <v>61</v>
      </c>
      <c r="B6" s="4" t="s">
        <v>62</v>
      </c>
      <c r="C6" s="5" t="n">
        <v>900</v>
      </c>
      <c r="D6" s="5" t="n">
        <v>18</v>
      </c>
      <c r="E6" s="4" t="n">
        <f aca="false">C6*D6*12/60</f>
        <v>3240</v>
      </c>
      <c r="F6" s="5" t="n">
        <v>3</v>
      </c>
      <c r="G6" s="5" t="n">
        <v>5</v>
      </c>
      <c r="H6" s="5" t="n">
        <v>3</v>
      </c>
      <c r="I6" s="13" t="n">
        <f aca="false">(F6*G6)/H6</f>
        <v>5</v>
      </c>
      <c r="J6" s="14" t="n">
        <v>0.85</v>
      </c>
      <c r="K6" s="4" t="n">
        <f aca="false">E6*J6</f>
        <v>2754</v>
      </c>
      <c r="L6" s="15" t="n">
        <f aca="false">K6*Assumptions!$C$7</f>
        <v>123930</v>
      </c>
      <c r="M6" s="16" t="s">
        <v>63</v>
      </c>
      <c r="N6" s="17" t="s">
        <v>64</v>
      </c>
      <c r="O6" s="5" t="n">
        <v>2</v>
      </c>
      <c r="P6" s="18" t="n">
        <f aca="false">(F6*G6*O6)/H6</f>
        <v>10</v>
      </c>
    </row>
    <row r="7" customFormat="false" ht="42" hidden="false" customHeight="true" outlineLevel="0" collapsed="false">
      <c r="A7" s="4" t="s">
        <v>65</v>
      </c>
      <c r="B7" s="4" t="s">
        <v>62</v>
      </c>
      <c r="C7" s="5" t="n">
        <v>300</v>
      </c>
      <c r="D7" s="5" t="n">
        <v>20</v>
      </c>
      <c r="E7" s="4" t="n">
        <f aca="false">C7*D7*12/60</f>
        <v>1200</v>
      </c>
      <c r="F7" s="5" t="n">
        <v>5</v>
      </c>
      <c r="G7" s="5" t="n">
        <v>3</v>
      </c>
      <c r="H7" s="5" t="n">
        <v>1</v>
      </c>
      <c r="I7" s="13" t="n">
        <f aca="false">(F7*G7)/H7</f>
        <v>15</v>
      </c>
      <c r="J7" s="14" t="n">
        <v>0.7</v>
      </c>
      <c r="K7" s="4" t="n">
        <f aca="false">E7*J7</f>
        <v>840</v>
      </c>
      <c r="L7" s="15" t="n">
        <f aca="false">K7*Assumptions!$C$7</f>
        <v>37800</v>
      </c>
      <c r="M7" s="16" t="s">
        <v>66</v>
      </c>
      <c r="N7" s="17" t="s">
        <v>67</v>
      </c>
      <c r="O7" s="5" t="n">
        <v>5</v>
      </c>
      <c r="P7" s="18" t="n">
        <f aca="false">(F7*G7*O7)/H7</f>
        <v>75</v>
      </c>
    </row>
    <row r="8" customFormat="false" ht="42" hidden="false" customHeight="true" outlineLevel="0" collapsed="false">
      <c r="A8" s="4" t="s">
        <v>68</v>
      </c>
      <c r="B8" s="4" t="s">
        <v>58</v>
      </c>
      <c r="C8" s="5" t="n">
        <v>1500</v>
      </c>
      <c r="D8" s="5" t="n">
        <v>12</v>
      </c>
      <c r="E8" s="4" t="n">
        <f aca="false">C8*D8*12/60</f>
        <v>3600</v>
      </c>
      <c r="F8" s="5" t="n">
        <v>5</v>
      </c>
      <c r="G8" s="5" t="n">
        <v>4</v>
      </c>
      <c r="H8" s="5" t="n">
        <v>2</v>
      </c>
      <c r="I8" s="13" t="n">
        <f aca="false">(F8*G8)/H8</f>
        <v>10</v>
      </c>
      <c r="J8" s="14" t="n">
        <v>0.7</v>
      </c>
      <c r="K8" s="4" t="n">
        <f aca="false">E8*J8</f>
        <v>2520</v>
      </c>
      <c r="L8" s="15" t="n">
        <f aca="false">K8*Assumptions!$C$7</f>
        <v>113400</v>
      </c>
      <c r="M8" s="16" t="s">
        <v>69</v>
      </c>
      <c r="N8" s="17" t="s">
        <v>70</v>
      </c>
      <c r="O8" s="5" t="n">
        <v>5</v>
      </c>
      <c r="P8" s="18" t="n">
        <f aca="false">(F8*G8*O8)/H8</f>
        <v>50</v>
      </c>
    </row>
    <row r="9" customFormat="false" ht="42" hidden="false" customHeight="true" outlineLevel="0" collapsed="false">
      <c r="A9" s="4" t="s">
        <v>71</v>
      </c>
      <c r="B9" s="4" t="s">
        <v>58</v>
      </c>
      <c r="C9" s="5" t="n">
        <v>2000</v>
      </c>
      <c r="D9" s="5" t="n">
        <v>5</v>
      </c>
      <c r="E9" s="4" t="n">
        <f aca="false">C9*D9*12/60</f>
        <v>2000</v>
      </c>
      <c r="F9" s="5" t="n">
        <v>5</v>
      </c>
      <c r="G9" s="5" t="n">
        <v>2</v>
      </c>
      <c r="H9" s="5" t="n">
        <v>1</v>
      </c>
      <c r="I9" s="13" t="n">
        <f aca="false">(F9*G9)/H9</f>
        <v>10</v>
      </c>
      <c r="J9" s="14" t="n">
        <v>0.4</v>
      </c>
      <c r="K9" s="4" t="n">
        <f aca="false">E9*J9</f>
        <v>800</v>
      </c>
      <c r="L9" s="15" t="n">
        <f aca="false">K9*Assumptions!$C$7</f>
        <v>36000</v>
      </c>
      <c r="M9" s="16" t="s">
        <v>72</v>
      </c>
      <c r="N9" s="17" t="s">
        <v>73</v>
      </c>
      <c r="O9" s="5" t="n">
        <v>5</v>
      </c>
      <c r="P9" s="18" t="n">
        <f aca="false">(F9*G9*O9)/H9</f>
        <v>50</v>
      </c>
    </row>
    <row r="11" customFormat="false" ht="15" hidden="false" customHeight="false" outlineLevel="0" collapsed="false">
      <c r="A11" s="8" t="s">
        <v>74</v>
      </c>
      <c r="K11" s="8" t="n">
        <f aca="false">SUM(K5:K9)</f>
        <v>8661.2</v>
      </c>
      <c r="L11" s="19" t="n">
        <f aca="false">SUM(L5:L9)</f>
        <v>389754</v>
      </c>
    </row>
    <row r="13" customFormat="false" ht="15" hidden="false" customHeight="true" outlineLevel="0" collapsed="false">
      <c r="A13" s="20" t="s">
        <v>75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customFormat="false" ht="22.35" hidden="false" customHeight="true" outlineLevel="0" collapsed="false">
      <c r="A14" s="20" t="s">
        <v>76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</sheetData>
  <mergeCells count="2">
    <mergeCell ref="A13:P13"/>
    <mergeCell ref="A14:P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3" t="s">
        <v>41</v>
      </c>
      <c r="B4" s="3" t="s">
        <v>79</v>
      </c>
      <c r="C4" s="3" t="s">
        <v>54</v>
      </c>
      <c r="D4" s="3" t="s">
        <v>80</v>
      </c>
      <c r="E4" s="3" t="s">
        <v>81</v>
      </c>
    </row>
    <row r="5" customFormat="false" ht="31.5" hidden="false" customHeight="true" outlineLevel="0" collapsed="false">
      <c r="A5" s="4" t="s">
        <v>82</v>
      </c>
      <c r="B5" s="21" t="s">
        <v>83</v>
      </c>
      <c r="C5" s="4" t="s">
        <v>84</v>
      </c>
      <c r="D5" s="4" t="s">
        <v>85</v>
      </c>
      <c r="E5" s="17" t="s">
        <v>86</v>
      </c>
    </row>
    <row r="6" customFormat="false" ht="31.5" hidden="false" customHeight="true" outlineLevel="0" collapsed="false">
      <c r="A6" s="4" t="s">
        <v>82</v>
      </c>
      <c r="B6" s="21" t="s">
        <v>87</v>
      </c>
      <c r="C6" s="4" t="s">
        <v>88</v>
      </c>
      <c r="D6" s="4" t="s">
        <v>89</v>
      </c>
      <c r="E6" s="17" t="s">
        <v>90</v>
      </c>
    </row>
    <row r="7" customFormat="false" ht="31.5" hidden="false" customHeight="true" outlineLevel="0" collapsed="false">
      <c r="A7" s="4" t="s">
        <v>82</v>
      </c>
      <c r="B7" s="21" t="s">
        <v>91</v>
      </c>
      <c r="C7" s="4" t="s">
        <v>92</v>
      </c>
      <c r="D7" s="4" t="s">
        <v>85</v>
      </c>
      <c r="E7" s="17" t="s">
        <v>86</v>
      </c>
    </row>
    <row r="8" customFormat="false" ht="31.5" hidden="false" customHeight="true" outlineLevel="0" collapsed="false">
      <c r="A8" s="4" t="s">
        <v>93</v>
      </c>
      <c r="B8" s="21" t="s">
        <v>94</v>
      </c>
      <c r="C8" s="4" t="s">
        <v>95</v>
      </c>
      <c r="D8" s="4" t="s">
        <v>96</v>
      </c>
      <c r="E8" s="17" t="s">
        <v>97</v>
      </c>
    </row>
    <row r="9" customFormat="false" ht="31.5" hidden="false" customHeight="true" outlineLevel="0" collapsed="false">
      <c r="A9" s="4" t="s">
        <v>93</v>
      </c>
      <c r="B9" s="21" t="s">
        <v>98</v>
      </c>
      <c r="C9" s="4" t="s">
        <v>99</v>
      </c>
      <c r="D9" s="4" t="s">
        <v>100</v>
      </c>
      <c r="E9" s="17" t="s">
        <v>101</v>
      </c>
    </row>
    <row r="10" customFormat="false" ht="31.5" hidden="false" customHeight="true" outlineLevel="0" collapsed="false">
      <c r="A10" s="4" t="s">
        <v>93</v>
      </c>
      <c r="B10" s="21" t="s">
        <v>102</v>
      </c>
      <c r="C10" s="4" t="s">
        <v>103</v>
      </c>
      <c r="D10" s="4" t="s">
        <v>104</v>
      </c>
      <c r="E10" s="17" t="s">
        <v>105</v>
      </c>
    </row>
    <row r="11" customFormat="false" ht="31.5" hidden="false" customHeight="true" outlineLevel="0" collapsed="false">
      <c r="A11" s="4" t="s">
        <v>106</v>
      </c>
      <c r="B11" s="21" t="s">
        <v>107</v>
      </c>
      <c r="C11" s="4" t="s">
        <v>108</v>
      </c>
      <c r="D11" s="4" t="s">
        <v>109</v>
      </c>
      <c r="E11" s="17" t="s">
        <v>110</v>
      </c>
    </row>
    <row r="12" customFormat="false" ht="31.5" hidden="false" customHeight="true" outlineLevel="0" collapsed="false">
      <c r="A12" s="4" t="s">
        <v>106</v>
      </c>
      <c r="B12" s="21" t="s">
        <v>111</v>
      </c>
      <c r="C12" s="4" t="s">
        <v>108</v>
      </c>
      <c r="D12" s="4" t="s">
        <v>112</v>
      </c>
      <c r="E12" s="17" t="s">
        <v>113</v>
      </c>
    </row>
    <row r="13" customFormat="false" ht="31.5" hidden="false" customHeight="true" outlineLevel="0" collapsed="false">
      <c r="A13" s="4" t="s">
        <v>114</v>
      </c>
      <c r="B13" s="21" t="s">
        <v>115</v>
      </c>
      <c r="C13" s="4" t="s">
        <v>116</v>
      </c>
      <c r="D13" s="4" t="s">
        <v>117</v>
      </c>
      <c r="E13" s="17" t="s">
        <v>118</v>
      </c>
    </row>
    <row r="14" customFormat="false" ht="31.5" hidden="false" customHeight="true" outlineLevel="0" collapsed="false">
      <c r="A14" s="4" t="s">
        <v>114</v>
      </c>
      <c r="B14" s="21" t="s">
        <v>119</v>
      </c>
      <c r="C14" s="4" t="s">
        <v>120</v>
      </c>
      <c r="D14" s="4" t="s">
        <v>89</v>
      </c>
      <c r="E14" s="17" t="s">
        <v>121</v>
      </c>
    </row>
    <row r="15" customFormat="false" ht="31.5" hidden="false" customHeight="true" outlineLevel="0" collapsed="false">
      <c r="A15" s="4" t="s">
        <v>114</v>
      </c>
      <c r="B15" s="21" t="s">
        <v>122</v>
      </c>
      <c r="C15" s="4" t="s">
        <v>123</v>
      </c>
      <c r="D15" s="4" t="s">
        <v>117</v>
      </c>
      <c r="E15" s="17" t="s">
        <v>124</v>
      </c>
    </row>
    <row r="16" customFormat="false" ht="31.5" hidden="false" customHeight="true" outlineLevel="0" collapsed="false">
      <c r="A16" s="4" t="s">
        <v>114</v>
      </c>
      <c r="B16" s="21" t="s">
        <v>125</v>
      </c>
      <c r="C16" s="4" t="s">
        <v>126</v>
      </c>
      <c r="D16" s="4" t="s">
        <v>89</v>
      </c>
      <c r="E16" s="17" t="s">
        <v>121</v>
      </c>
    </row>
    <row r="17" customFormat="false" ht="31.5" hidden="false" customHeight="true" outlineLevel="0" collapsed="false">
      <c r="A17" s="4" t="s">
        <v>114</v>
      </c>
      <c r="B17" s="21" t="s">
        <v>127</v>
      </c>
      <c r="C17" s="4" t="s">
        <v>128</v>
      </c>
      <c r="D17" s="4" t="s">
        <v>129</v>
      </c>
      <c r="E17" s="17" t="s">
        <v>130</v>
      </c>
    </row>
    <row r="18" customFormat="false" ht="31.5" hidden="false" customHeight="true" outlineLevel="0" collapsed="false">
      <c r="A18" s="4" t="s">
        <v>131</v>
      </c>
      <c r="B18" s="21" t="s">
        <v>132</v>
      </c>
      <c r="C18" s="4" t="s">
        <v>133</v>
      </c>
      <c r="D18" s="4" t="s">
        <v>134</v>
      </c>
      <c r="E18" s="17" t="s">
        <v>135</v>
      </c>
    </row>
    <row r="19" customFormat="false" ht="31.5" hidden="false" customHeight="true" outlineLevel="0" collapsed="false">
      <c r="A19" s="4" t="s">
        <v>131</v>
      </c>
      <c r="B19" s="21" t="s">
        <v>136</v>
      </c>
      <c r="C19" s="4" t="s">
        <v>133</v>
      </c>
      <c r="D19" s="4" t="s">
        <v>134</v>
      </c>
      <c r="E19" s="17" t="s">
        <v>135</v>
      </c>
    </row>
    <row r="20" customFormat="false" ht="31.5" hidden="false" customHeight="true" outlineLevel="0" collapsed="false">
      <c r="A20" s="4" t="s">
        <v>131</v>
      </c>
      <c r="B20" s="21" t="s">
        <v>137</v>
      </c>
      <c r="C20" s="4" t="s">
        <v>138</v>
      </c>
      <c r="D20" s="4" t="s">
        <v>85</v>
      </c>
      <c r="E20" s="17" t="s">
        <v>139</v>
      </c>
    </row>
    <row r="21" customFormat="false" ht="31.5" hidden="false" customHeight="true" outlineLevel="0" collapsed="false">
      <c r="A21" s="4" t="s">
        <v>140</v>
      </c>
      <c r="B21" s="21" t="s">
        <v>141</v>
      </c>
      <c r="C21" s="4" t="s">
        <v>142</v>
      </c>
      <c r="D21" s="4" t="s">
        <v>143</v>
      </c>
      <c r="E21" s="17" t="s">
        <v>144</v>
      </c>
    </row>
    <row r="22" customFormat="false" ht="31.5" hidden="false" customHeight="true" outlineLevel="0" collapsed="false">
      <c r="A22" s="4" t="s">
        <v>140</v>
      </c>
      <c r="B22" s="21" t="s">
        <v>145</v>
      </c>
      <c r="C22" s="4" t="s">
        <v>146</v>
      </c>
      <c r="D22" s="4" t="s">
        <v>89</v>
      </c>
      <c r="E22" s="17" t="s">
        <v>147</v>
      </c>
    </row>
    <row r="23" customFormat="false" ht="31.5" hidden="false" customHeight="true" outlineLevel="0" collapsed="false">
      <c r="A23" s="4" t="s">
        <v>140</v>
      </c>
      <c r="B23" s="21" t="s">
        <v>148</v>
      </c>
      <c r="C23" s="4" t="s">
        <v>149</v>
      </c>
      <c r="D23" s="4" t="s">
        <v>150</v>
      </c>
      <c r="E23" s="17" t="s">
        <v>151</v>
      </c>
    </row>
    <row r="24" customFormat="false" ht="31.5" hidden="false" customHeight="true" outlineLevel="0" collapsed="false">
      <c r="A24" s="4" t="s">
        <v>140</v>
      </c>
      <c r="B24" s="21" t="s">
        <v>152</v>
      </c>
      <c r="C24" s="4" t="s">
        <v>153</v>
      </c>
      <c r="D24" s="4" t="s">
        <v>154</v>
      </c>
      <c r="E24" s="17" t="s">
        <v>155</v>
      </c>
    </row>
    <row r="25" customFormat="false" ht="31.5" hidden="false" customHeight="true" outlineLevel="0" collapsed="false">
      <c r="A25" s="4" t="s">
        <v>156</v>
      </c>
      <c r="B25" s="21" t="s">
        <v>157</v>
      </c>
      <c r="C25" s="4" t="s">
        <v>158</v>
      </c>
      <c r="D25" s="4" t="s">
        <v>159</v>
      </c>
      <c r="E25" s="17" t="s">
        <v>160</v>
      </c>
    </row>
    <row r="26" customFormat="false" ht="31.5" hidden="false" customHeight="true" outlineLevel="0" collapsed="false">
      <c r="A26" s="4" t="s">
        <v>156</v>
      </c>
      <c r="B26" s="21" t="s">
        <v>161</v>
      </c>
      <c r="C26" s="4" t="s">
        <v>162</v>
      </c>
      <c r="D26" s="4" t="s">
        <v>163</v>
      </c>
      <c r="E26" s="17" t="s">
        <v>164</v>
      </c>
    </row>
    <row r="27" customFormat="false" ht="31.5" hidden="false" customHeight="true" outlineLevel="0" collapsed="false">
      <c r="A27" s="4" t="s">
        <v>165</v>
      </c>
      <c r="B27" s="21" t="s">
        <v>166</v>
      </c>
      <c r="C27" s="4" t="s">
        <v>167</v>
      </c>
      <c r="D27" s="4" t="s">
        <v>89</v>
      </c>
      <c r="E27" s="17" t="s">
        <v>168</v>
      </c>
    </row>
    <row r="28" customFormat="false" ht="31.5" hidden="false" customHeight="true" outlineLevel="0" collapsed="false">
      <c r="A28" s="4" t="s">
        <v>165</v>
      </c>
      <c r="B28" s="21" t="s">
        <v>169</v>
      </c>
      <c r="C28" s="4" t="s">
        <v>170</v>
      </c>
      <c r="D28" s="4" t="s">
        <v>89</v>
      </c>
      <c r="E28" s="17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2" min="11" style="0" width="16"/>
    <col collapsed="false" customWidth="true" hidden="false" outlineLevel="0" max="13" min="13" style="0" width="17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23.85" hidden="false" customHeight="false" outlineLevel="0" collapsed="false">
      <c r="A4" s="3" t="s">
        <v>41</v>
      </c>
      <c r="B4" s="3" t="s">
        <v>173</v>
      </c>
      <c r="C4" s="3" t="s">
        <v>174</v>
      </c>
      <c r="D4" s="3" t="s">
        <v>175</v>
      </c>
      <c r="E4" s="3" t="s">
        <v>176</v>
      </c>
      <c r="F4" s="3" t="s">
        <v>177</v>
      </c>
      <c r="G4" s="3" t="s">
        <v>178</v>
      </c>
      <c r="H4" s="3" t="s">
        <v>179</v>
      </c>
      <c r="I4" s="3" t="s">
        <v>180</v>
      </c>
      <c r="J4" s="3" t="s">
        <v>181</v>
      </c>
      <c r="K4" s="3" t="s">
        <v>182</v>
      </c>
      <c r="L4" s="3" t="s">
        <v>183</v>
      </c>
      <c r="M4" s="3" t="s">
        <v>184</v>
      </c>
    </row>
    <row r="5" customFormat="false" ht="39.75" hidden="false" customHeight="true" outlineLevel="0" collapsed="false">
      <c r="A5" s="4" t="s">
        <v>57</v>
      </c>
      <c r="B5" s="15" t="n">
        <f aca="false">Scoring_Matrix!L5</f>
        <v>78624</v>
      </c>
      <c r="C5" s="16" t="s">
        <v>185</v>
      </c>
      <c r="D5" s="9" t="n">
        <v>30000</v>
      </c>
      <c r="E5" s="9" t="n">
        <v>0</v>
      </c>
      <c r="F5" s="15" t="n">
        <f aca="false">B5-D5-E5</f>
        <v>48624</v>
      </c>
      <c r="G5" s="15" t="n">
        <f aca="false">B5-E5</f>
        <v>78624</v>
      </c>
      <c r="H5" s="15" t="n">
        <f aca="false">B5-E5</f>
        <v>78624</v>
      </c>
      <c r="I5" s="22" t="n">
        <f aca="false">F5+G5+H5</f>
        <v>205872</v>
      </c>
      <c r="J5" s="23" t="n">
        <f aca="false">IF((B5-E5)&gt;0,D5/((B5-E5)/12),"N/A")</f>
        <v>4.57875457875458</v>
      </c>
      <c r="K5" s="15" t="n">
        <f aca="false">B5*(1-Assumptions!$C$21)</f>
        <v>62899.2</v>
      </c>
      <c r="L5" s="22" t="n">
        <f aca="false">(K5-E5)*3-D5</f>
        <v>158697.6</v>
      </c>
      <c r="M5" s="23" t="n">
        <f aca="false">IF((K5-E5)&gt;0,D5/((K5-E5)/12),"N/A")</f>
        <v>5.72344322344322</v>
      </c>
    </row>
    <row r="6" customFormat="false" ht="39.75" hidden="false" customHeight="true" outlineLevel="0" collapsed="false">
      <c r="A6" s="4" t="s">
        <v>61</v>
      </c>
      <c r="B6" s="15" t="n">
        <f aca="false">Scoring_Matrix!L6</f>
        <v>123930</v>
      </c>
      <c r="C6" s="16" t="s">
        <v>186</v>
      </c>
      <c r="D6" s="9" t="n">
        <v>15000</v>
      </c>
      <c r="E6" s="15" t="n">
        <f aca="false">1000*Assumptions!$C$17*12</f>
        <v>60000</v>
      </c>
      <c r="F6" s="15" t="n">
        <f aca="false">B6-D6-E6</f>
        <v>48930</v>
      </c>
      <c r="G6" s="15" t="n">
        <f aca="false">B6-E6</f>
        <v>63930</v>
      </c>
      <c r="H6" s="15" t="n">
        <f aca="false">B6-E6</f>
        <v>63930</v>
      </c>
      <c r="I6" s="22" t="n">
        <f aca="false">F6+G6+H6</f>
        <v>176790</v>
      </c>
      <c r="J6" s="23" t="n">
        <f aca="false">IF((B6-E6)&gt;0,D6/((B6-E6)/12),"N/A")</f>
        <v>2.81557954012201</v>
      </c>
      <c r="K6" s="15" t="n">
        <f aca="false">B6*(1-Assumptions!$C$21)</f>
        <v>99144</v>
      </c>
      <c r="L6" s="22" t="n">
        <f aca="false">(K6-E6)*3-D6</f>
        <v>102432</v>
      </c>
      <c r="M6" s="23" t="n">
        <f aca="false">IF((K6-E6)&gt;0,D6/((K6-E6)/12),"N/A")</f>
        <v>4.59840588595953</v>
      </c>
    </row>
    <row r="7" customFormat="false" ht="39.75" hidden="false" customHeight="true" outlineLevel="0" collapsed="false">
      <c r="A7" s="4" t="s">
        <v>65</v>
      </c>
      <c r="B7" s="15" t="n">
        <f aca="false">Scoring_Matrix!L7</f>
        <v>37800</v>
      </c>
      <c r="C7" s="16" t="s">
        <v>187</v>
      </c>
      <c r="D7" s="9" t="n">
        <v>30000</v>
      </c>
      <c r="E7" s="9" t="n">
        <v>0</v>
      </c>
      <c r="F7" s="15" t="n">
        <f aca="false">B7-D7-E7</f>
        <v>7800</v>
      </c>
      <c r="G7" s="15" t="n">
        <f aca="false">B7-E7</f>
        <v>37800</v>
      </c>
      <c r="H7" s="15" t="n">
        <f aca="false">B7-E7</f>
        <v>37800</v>
      </c>
      <c r="I7" s="22" t="n">
        <f aca="false">F7+G7+H7</f>
        <v>83400</v>
      </c>
      <c r="J7" s="23" t="n">
        <f aca="false">IF((B7-E7)&gt;0,D7/((B7-E7)/12),"N/A")</f>
        <v>9.52380952380952</v>
      </c>
      <c r="K7" s="15" t="n">
        <f aca="false">B7*(1-Assumptions!$C$21)</f>
        <v>30240</v>
      </c>
      <c r="L7" s="22" t="n">
        <f aca="false">(K7-E7)*3-D7</f>
        <v>60720</v>
      </c>
      <c r="M7" s="23" t="n">
        <f aca="false">IF((K7-E7)&gt;0,D7/((K7-E7)/12),"N/A")</f>
        <v>11.9047619047619</v>
      </c>
    </row>
    <row r="8" customFormat="false" ht="39.75" hidden="false" customHeight="true" outlineLevel="0" collapsed="false">
      <c r="A8" s="4" t="s">
        <v>68</v>
      </c>
      <c r="B8" s="15" t="n">
        <f aca="false">Scoring_Matrix!L8</f>
        <v>113400</v>
      </c>
      <c r="C8" s="16" t="s">
        <v>188</v>
      </c>
      <c r="D8" s="9" t="n">
        <v>10000</v>
      </c>
      <c r="E8" s="15" t="n">
        <f aca="false">Assumptions!$C$6*Assumptions!$C$15*12</f>
        <v>90000</v>
      </c>
      <c r="F8" s="15" t="n">
        <f aca="false">B8-D8-E8</f>
        <v>13400</v>
      </c>
      <c r="G8" s="15" t="n">
        <f aca="false">B8-E8</f>
        <v>23400</v>
      </c>
      <c r="H8" s="15" t="n">
        <f aca="false">B8-E8</f>
        <v>23400</v>
      </c>
      <c r="I8" s="22" t="n">
        <f aca="false">F8+G8+H8</f>
        <v>60200</v>
      </c>
      <c r="J8" s="23" t="n">
        <f aca="false">IF((B8-E8)&gt;0,D8/((B8-E8)/12),"N/A")</f>
        <v>5.12820512820513</v>
      </c>
      <c r="K8" s="15" t="n">
        <f aca="false">B8*(1-Assumptions!$C$21)</f>
        <v>90720</v>
      </c>
      <c r="L8" s="22" t="n">
        <f aca="false">(K8-E8)*3-D8</f>
        <v>-7840</v>
      </c>
      <c r="M8" s="23" t="n">
        <f aca="false">IF((K8-E8)&gt;0,D8/((K8-E8)/12),"N/A")</f>
        <v>166.666666666667</v>
      </c>
    </row>
    <row r="9" customFormat="false" ht="39.75" hidden="false" customHeight="true" outlineLevel="0" collapsed="false">
      <c r="A9" s="4" t="s">
        <v>71</v>
      </c>
      <c r="B9" s="15" t="n">
        <f aca="false">Scoring_Matrix!L9</f>
        <v>36000</v>
      </c>
      <c r="C9" s="16" t="s">
        <v>189</v>
      </c>
      <c r="D9" s="9" t="n">
        <v>5000</v>
      </c>
      <c r="E9" s="15" t="n">
        <f aca="false">50*Assumptions!$C$19*12</f>
        <v>7200</v>
      </c>
      <c r="F9" s="15" t="n">
        <f aca="false">B9-D9-E9</f>
        <v>23800</v>
      </c>
      <c r="G9" s="15" t="n">
        <f aca="false">B9-E9</f>
        <v>28800</v>
      </c>
      <c r="H9" s="15" t="n">
        <f aca="false">B9-E9</f>
        <v>28800</v>
      </c>
      <c r="I9" s="22" t="n">
        <f aca="false">F9+G9+H9</f>
        <v>81400</v>
      </c>
      <c r="J9" s="23" t="n">
        <f aca="false">IF((B9-E9)&gt;0,D9/((B9-E9)/12),"N/A")</f>
        <v>2.08333333333333</v>
      </c>
      <c r="K9" s="15" t="n">
        <f aca="false">B9*(1-Assumptions!$C$21)</f>
        <v>28800</v>
      </c>
      <c r="L9" s="22" t="n">
        <f aca="false">(K9-E9)*3-D9</f>
        <v>59800</v>
      </c>
      <c r="M9" s="23" t="n">
        <f aca="false">IF((K9-E9)&gt;0,D9/((K9-E9)/12),"N/A")</f>
        <v>2.77777777777778</v>
      </c>
    </row>
    <row r="11" customFormat="false" ht="15" hidden="false" customHeight="false" outlineLevel="0" collapsed="false">
      <c r="A11" s="8" t="s">
        <v>74</v>
      </c>
      <c r="I11" s="19" t="n">
        <f aca="false">SUM(I5:I9)</f>
        <v>607662</v>
      </c>
      <c r="L11" s="19" t="n">
        <f aca="false">SUM(L5:L9)</f>
        <v>373809.6</v>
      </c>
    </row>
    <row r="13" customFormat="false" ht="22.35" hidden="false" customHeight="true" outlineLevel="0" collapsed="false">
      <c r="A13" s="20" t="s">
        <v>190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5" customFormat="false" ht="15" hidden="false" customHeight="false" outlineLevel="0" collapsed="false">
      <c r="A15" s="8" t="s">
        <v>191</v>
      </c>
    </row>
    <row r="16" customFormat="false" ht="15" hidden="false" customHeight="true" outlineLevel="0" collapsed="false">
      <c r="A16" s="20" t="s">
        <v>192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8" customFormat="false" ht="23.85" hidden="false" customHeight="false" outlineLevel="0" collapsed="false">
      <c r="A18" s="3" t="s">
        <v>193</v>
      </c>
      <c r="B18" s="3" t="s">
        <v>194</v>
      </c>
      <c r="C18" s="3" t="s">
        <v>195</v>
      </c>
      <c r="D18" s="3" t="s">
        <v>196</v>
      </c>
      <c r="E18" s="3" t="s">
        <v>197</v>
      </c>
      <c r="F18" s="3" t="s">
        <v>198</v>
      </c>
    </row>
    <row r="19" customFormat="false" ht="15" hidden="false" customHeight="false" outlineLevel="0" collapsed="false">
      <c r="A19" s="4" t="s">
        <v>199</v>
      </c>
      <c r="B19" s="15" t="n">
        <f aca="false">D5</f>
        <v>30000</v>
      </c>
      <c r="C19" s="15" t="n">
        <f aca="false">D7</f>
        <v>30000</v>
      </c>
      <c r="D19" s="15" t="n">
        <f aca="false">B19+C19</f>
        <v>60000</v>
      </c>
      <c r="E19" s="15" t="n">
        <f aca="false">(B5*3)+(B7*3)</f>
        <v>349272</v>
      </c>
      <c r="F19" s="22" t="n">
        <f aca="false">E19-D19</f>
        <v>289272</v>
      </c>
    </row>
    <row r="20" customFormat="false" ht="15" hidden="false" customHeight="false" outlineLevel="0" collapsed="false">
      <c r="A20" s="4" t="s">
        <v>200</v>
      </c>
      <c r="B20" s="6" t="s">
        <v>201</v>
      </c>
      <c r="C20" s="6" t="s">
        <v>201</v>
      </c>
      <c r="D20" s="24" t="n">
        <f aca="false">D19*(1-0.25)</f>
        <v>45000</v>
      </c>
      <c r="E20" s="15" t="n">
        <f aca="false">E19</f>
        <v>349272</v>
      </c>
      <c r="F20" s="24" t="n">
        <f aca="false">E20-D20</f>
        <v>304272</v>
      </c>
    </row>
    <row r="22" customFormat="false" ht="22.35" hidden="false" customHeight="true" outlineLevel="0" collapsed="false">
      <c r="A22" s="20" t="s">
        <v>202</v>
      </c>
      <c r="B22" s="20"/>
      <c r="C22" s="20"/>
      <c r="D22" s="20"/>
      <c r="E22" s="20"/>
      <c r="F22" s="20"/>
    </row>
  </sheetData>
  <mergeCells count="3">
    <mergeCell ref="A13:M13"/>
    <mergeCell ref="A16:M16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0"/>
    <col collapsed="false" customWidth="true" hidden="false" outlineLevel="0" max="5" min="5" style="0" width="12"/>
    <col collapsed="false" customWidth="true" hidden="false" outlineLevel="0" max="12" min="6" style="0" width="11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4" customFormat="false" ht="23.85" hidden="false" customHeight="false" outlineLevel="0" collapsed="false">
      <c r="A4" s="3" t="s">
        <v>41</v>
      </c>
      <c r="B4" s="3" t="s">
        <v>205</v>
      </c>
      <c r="C4" s="3" t="s">
        <v>206</v>
      </c>
      <c r="D4" s="3" t="s">
        <v>207</v>
      </c>
      <c r="E4" s="3" t="s">
        <v>208</v>
      </c>
      <c r="F4" s="3" t="s">
        <v>209</v>
      </c>
      <c r="G4" s="3" t="s">
        <v>210</v>
      </c>
      <c r="H4" s="3" t="s">
        <v>211</v>
      </c>
      <c r="I4" s="3" t="s">
        <v>212</v>
      </c>
      <c r="J4" s="3" t="s">
        <v>213</v>
      </c>
      <c r="K4" s="3" t="s">
        <v>214</v>
      </c>
      <c r="L4" s="3" t="s">
        <v>215</v>
      </c>
      <c r="M4" s="3" t="s">
        <v>216</v>
      </c>
    </row>
    <row r="5" customFormat="false" ht="31.5" hidden="false" customHeight="true" outlineLevel="0" collapsed="false">
      <c r="A5" s="4" t="s">
        <v>57</v>
      </c>
      <c r="B5" s="4" t="n">
        <v>4</v>
      </c>
      <c r="C5" s="4" t="n">
        <v>5</v>
      </c>
      <c r="D5" s="4" t="n">
        <v>2</v>
      </c>
      <c r="E5" s="13" t="n">
        <f aca="false">(B5*C5)/D5</f>
        <v>10</v>
      </c>
      <c r="F5" s="4" t="n">
        <f aca="false">(MAX(1,B5-1)*C5)/D5</f>
        <v>7.5</v>
      </c>
      <c r="G5" s="4" t="n">
        <f aca="false">(MIN(5,B5+1)*C5)/D5</f>
        <v>12.5</v>
      </c>
      <c r="H5" s="4" t="n">
        <f aca="false">(B5*MAX(1,C5-1))/D5</f>
        <v>8</v>
      </c>
      <c r="I5" s="4" t="n">
        <f aca="false">(B5*MIN(5,C5+1))/D5</f>
        <v>10</v>
      </c>
      <c r="J5" s="4" t="n">
        <f aca="false">(B5*C5)/MAX(1,D5-1)</f>
        <v>20</v>
      </c>
      <c r="K5" s="4" t="n">
        <f aca="false">(B5*C5)/MIN(5,D5+1)</f>
        <v>6.66666666666667</v>
      </c>
      <c r="L5" s="13" t="n">
        <f aca="false">MAX(F5:K5)-MIN(F5:K5)</f>
        <v>13.3333333333333</v>
      </c>
      <c r="M5" s="25" t="str">
        <f aca="false">IF(ABS(F5-G5)&gt;=ABS(H5-I5),IF(ABS(F5-G5)&gt;=ABS(J5-K5),"Feasibility","Risk"),IF(ABS(H5-I5)&gt;=ABS(J5-K5),"Impact","Risk"))</f>
        <v>Risk</v>
      </c>
    </row>
    <row r="6" customFormat="false" ht="31.5" hidden="false" customHeight="true" outlineLevel="0" collapsed="false">
      <c r="A6" s="4" t="s">
        <v>61</v>
      </c>
      <c r="B6" s="4" t="n">
        <v>3</v>
      </c>
      <c r="C6" s="4" t="n">
        <v>5</v>
      </c>
      <c r="D6" s="4" t="n">
        <v>3</v>
      </c>
      <c r="E6" s="13" t="n">
        <f aca="false">(B6*C6)/D6</f>
        <v>5</v>
      </c>
      <c r="F6" s="4" t="n">
        <f aca="false">(MAX(1,B6-1)*C6)/D6</f>
        <v>3.33333333333333</v>
      </c>
      <c r="G6" s="4" t="n">
        <f aca="false">(MIN(5,B6+1)*C6)/D6</f>
        <v>6.66666666666667</v>
      </c>
      <c r="H6" s="4" t="n">
        <f aca="false">(B6*MAX(1,C6-1))/D6</f>
        <v>4</v>
      </c>
      <c r="I6" s="4" t="n">
        <f aca="false">(B6*MIN(5,C6+1))/D6</f>
        <v>5</v>
      </c>
      <c r="J6" s="4" t="n">
        <f aca="false">(B6*C6)/MAX(1,D6-1)</f>
        <v>7.5</v>
      </c>
      <c r="K6" s="4" t="n">
        <f aca="false">(B6*C6)/MIN(5,D6+1)</f>
        <v>3.75</v>
      </c>
      <c r="L6" s="13" t="n">
        <f aca="false">MAX(F6:K6)-MIN(F6:K6)</f>
        <v>4.16666666666667</v>
      </c>
      <c r="M6" s="25" t="str">
        <f aca="false">IF(ABS(F6-G6)&gt;=ABS(H6-I6),IF(ABS(F6-G6)&gt;=ABS(J6-K6),"Feasibility","Risk"),IF(ABS(H6-I6)&gt;=ABS(J6-K6),"Impact","Risk"))</f>
        <v>Risk</v>
      </c>
    </row>
    <row r="7" customFormat="false" ht="31.5" hidden="false" customHeight="true" outlineLevel="0" collapsed="false">
      <c r="A7" s="4" t="s">
        <v>65</v>
      </c>
      <c r="B7" s="4" t="n">
        <v>5</v>
      </c>
      <c r="C7" s="4" t="n">
        <v>3</v>
      </c>
      <c r="D7" s="4" t="n">
        <v>1</v>
      </c>
      <c r="E7" s="13" t="n">
        <f aca="false">(B7*C7)/D7</f>
        <v>15</v>
      </c>
      <c r="F7" s="4" t="n">
        <f aca="false">(MAX(1,B7-1)*C7)/D7</f>
        <v>12</v>
      </c>
      <c r="G7" s="4" t="n">
        <f aca="false">(MIN(5,B7+1)*C7)/D7</f>
        <v>15</v>
      </c>
      <c r="H7" s="4" t="n">
        <f aca="false">(B7*MAX(1,C7-1))/D7</f>
        <v>10</v>
      </c>
      <c r="I7" s="4" t="n">
        <f aca="false">(B7*MIN(5,C7+1))/D7</f>
        <v>20</v>
      </c>
      <c r="J7" s="4" t="n">
        <f aca="false">(B7*C7)/MAX(1,D7-1)</f>
        <v>15</v>
      </c>
      <c r="K7" s="4" t="n">
        <f aca="false">(B7*C7)/MIN(5,D7+1)</f>
        <v>7.5</v>
      </c>
      <c r="L7" s="13" t="n">
        <f aca="false">MAX(F7:K7)-MIN(F7:K7)</f>
        <v>12.5</v>
      </c>
      <c r="M7" s="25" t="str">
        <f aca="false">IF(ABS(F7-G7)&gt;=ABS(H7-I7),IF(ABS(F7-G7)&gt;=ABS(J7-K7),"Feasibility","Risk"),IF(ABS(H7-I7)&gt;=ABS(J7-K7),"Impact","Risk"))</f>
        <v>Impact</v>
      </c>
    </row>
    <row r="8" customFormat="false" ht="31.5" hidden="false" customHeight="true" outlineLevel="0" collapsed="false">
      <c r="A8" s="4" t="s">
        <v>68</v>
      </c>
      <c r="B8" s="4" t="n">
        <v>5</v>
      </c>
      <c r="C8" s="4" t="n">
        <v>4</v>
      </c>
      <c r="D8" s="4" t="n">
        <v>2</v>
      </c>
      <c r="E8" s="13" t="n">
        <f aca="false">(B8*C8)/D8</f>
        <v>10</v>
      </c>
      <c r="F8" s="4" t="n">
        <f aca="false">(MAX(1,B8-1)*C8)/D8</f>
        <v>8</v>
      </c>
      <c r="G8" s="4" t="n">
        <f aca="false">(MIN(5,B8+1)*C8)/D8</f>
        <v>10</v>
      </c>
      <c r="H8" s="4" t="n">
        <f aca="false">(B8*MAX(1,C8-1))/D8</f>
        <v>7.5</v>
      </c>
      <c r="I8" s="4" t="n">
        <f aca="false">(B8*MIN(5,C8+1))/D8</f>
        <v>12.5</v>
      </c>
      <c r="J8" s="4" t="n">
        <f aca="false">(B8*C8)/MAX(1,D8-1)</f>
        <v>20</v>
      </c>
      <c r="K8" s="4" t="n">
        <f aca="false">(B8*C8)/MIN(5,D8+1)</f>
        <v>6.66666666666667</v>
      </c>
      <c r="L8" s="13" t="n">
        <f aca="false">MAX(F8:K8)-MIN(F8:K8)</f>
        <v>13.3333333333333</v>
      </c>
      <c r="M8" s="25" t="str">
        <f aca="false">IF(ABS(F8-G8)&gt;=ABS(H8-I8),IF(ABS(F8-G8)&gt;=ABS(J8-K8),"Feasibility","Risk"),IF(ABS(H8-I8)&gt;=ABS(J8-K8),"Impact","Risk"))</f>
        <v>Risk</v>
      </c>
    </row>
    <row r="9" customFormat="false" ht="31.5" hidden="false" customHeight="true" outlineLevel="0" collapsed="false">
      <c r="A9" s="4" t="s">
        <v>71</v>
      </c>
      <c r="B9" s="4" t="n">
        <v>5</v>
      </c>
      <c r="C9" s="4" t="n">
        <v>2</v>
      </c>
      <c r="D9" s="4" t="n">
        <v>1</v>
      </c>
      <c r="E9" s="13" t="n">
        <f aca="false">(B9*C9)/D9</f>
        <v>10</v>
      </c>
      <c r="F9" s="4" t="n">
        <f aca="false">(MAX(1,B9-1)*C9)/D9</f>
        <v>8</v>
      </c>
      <c r="G9" s="4" t="n">
        <f aca="false">(MIN(5,B9+1)*C9)/D9</f>
        <v>10</v>
      </c>
      <c r="H9" s="4" t="n">
        <f aca="false">(B9*MAX(1,C9-1))/D9</f>
        <v>5</v>
      </c>
      <c r="I9" s="4" t="n">
        <f aca="false">(B9*MIN(5,C9+1))/D9</f>
        <v>15</v>
      </c>
      <c r="J9" s="4" t="n">
        <f aca="false">(B9*C9)/MAX(1,D9-1)</f>
        <v>10</v>
      </c>
      <c r="K9" s="4" t="n">
        <f aca="false">(B9*C9)/MIN(5,D9+1)</f>
        <v>5</v>
      </c>
      <c r="L9" s="13" t="n">
        <f aca="false">MAX(F9:K9)-MIN(F9:K9)</f>
        <v>10</v>
      </c>
      <c r="M9" s="25" t="str">
        <f aca="false">IF(ABS(F9-G9)&gt;=ABS(H9-I9),IF(ABS(F9-G9)&gt;=ABS(J9-K9),"Feasibility","Risk"),IF(ABS(H9-I9)&gt;=ABS(J9-K9),"Impact","Risk"))</f>
        <v>Impact</v>
      </c>
    </row>
    <row r="11" customFormat="false" ht="22.35" hidden="false" customHeight="true" outlineLevel="0" collapsed="false">
      <c r="A11" s="20" t="s">
        <v>217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3" customFormat="false" ht="15" hidden="false" customHeight="false" outlineLevel="0" collapsed="false">
      <c r="A13" s="8" t="s">
        <v>218</v>
      </c>
    </row>
    <row r="14" customFormat="false" ht="15" hidden="false" customHeight="false" outlineLevel="0" collapsed="false">
      <c r="A14" s="3" t="s">
        <v>219</v>
      </c>
      <c r="B14" s="3" t="s">
        <v>220</v>
      </c>
      <c r="C14" s="3" t="s">
        <v>221</v>
      </c>
    </row>
    <row r="15" customFormat="false" ht="15" hidden="false" customHeight="false" outlineLevel="0" collapsed="false">
      <c r="A15" s="0" t="s">
        <v>222</v>
      </c>
      <c r="B15" s="0" t="n">
        <f aca="false">F7</f>
        <v>12</v>
      </c>
      <c r="C15" s="0" t="n">
        <f aca="false">G7</f>
        <v>15</v>
      </c>
    </row>
    <row r="16" customFormat="false" ht="15" hidden="false" customHeight="false" outlineLevel="0" collapsed="false">
      <c r="A16" s="0" t="s">
        <v>223</v>
      </c>
      <c r="B16" s="0" t="n">
        <f aca="false">H7</f>
        <v>10</v>
      </c>
      <c r="C16" s="0" t="n">
        <f aca="false">I7</f>
        <v>20</v>
      </c>
    </row>
    <row r="17" customFormat="false" ht="15" hidden="false" customHeight="false" outlineLevel="0" collapsed="false">
      <c r="A17" s="0" t="s">
        <v>224</v>
      </c>
      <c r="B17" s="0" t="n">
        <f aca="false">J7</f>
        <v>15</v>
      </c>
      <c r="C17" s="0" t="n">
        <f aca="false">K7</f>
        <v>7.5</v>
      </c>
    </row>
  </sheetData>
  <mergeCells count="1">
    <mergeCell ref="A11:M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2026-08-31T21:02:59Z</dcterms:created>
  <dc:creator>openpyxl</dc:creator>
  <dc:description/>
  <dc:language>en-US</dc:language>
  <cp:lastModifiedBy/>
  <dcterms:modified xsi:type="dcterms:W3CDTF">2026-08-31T21:03:00Z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